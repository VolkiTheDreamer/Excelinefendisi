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ba8ffe1f143b8c1/Uygulama Geliştirme/Udemy Videolar/2-ileri vba-makro/"/>
    </mc:Choice>
  </mc:AlternateContent>
  <xr:revisionPtr revIDLastSave="224" documentId="8_{8173AE96-B28D-4953-B981-73865ACBA415}" xr6:coauthVersionLast="37" xr6:coauthVersionMax="37" xr10:uidLastSave="{F5A77231-CF44-4F2F-B323-49270BA85E24}"/>
  <bookViews>
    <workbookView xWindow="0" yWindow="0" windowWidth="20490" windowHeight="6945" xr2:uid="{F4EE5ECD-18EE-4837-B398-B2BAEEF00876}"/>
  </bookViews>
  <sheets>
    <sheet name="Sheet1" sheetId="1" r:id="rId1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0" i="1" l="1"/>
  <c r="B21" i="1"/>
  <c r="B22" i="1"/>
  <c r="B19" i="1"/>
  <c r="D37" i="1"/>
  <c r="D41" i="1"/>
  <c r="D45" i="1"/>
  <c r="D49" i="1"/>
  <c r="D53" i="1"/>
  <c r="D57" i="1"/>
  <c r="D61" i="1"/>
  <c r="D65" i="1"/>
  <c r="D69" i="1"/>
  <c r="D73" i="1"/>
  <c r="D77" i="1"/>
  <c r="D81" i="1"/>
  <c r="D85" i="1"/>
  <c r="D89" i="1"/>
  <c r="D42" i="1"/>
  <c r="D46" i="1"/>
  <c r="D50" i="1"/>
  <c r="D54" i="1"/>
  <c r="D58" i="1"/>
  <c r="D62" i="1"/>
  <c r="D66" i="1"/>
  <c r="D70" i="1"/>
  <c r="D74" i="1"/>
  <c r="D78" i="1"/>
  <c r="D82" i="1"/>
  <c r="D86" i="1"/>
  <c r="D80" i="1"/>
  <c r="D88" i="1"/>
  <c r="D38" i="1"/>
  <c r="D39" i="1"/>
  <c r="D43" i="1"/>
  <c r="D47" i="1"/>
  <c r="D51" i="1"/>
  <c r="D55" i="1"/>
  <c r="D59" i="1"/>
  <c r="D63" i="1"/>
  <c r="D67" i="1"/>
  <c r="D71" i="1"/>
  <c r="D75" i="1"/>
  <c r="D79" i="1"/>
  <c r="D83" i="1"/>
  <c r="D87" i="1"/>
  <c r="D40" i="1"/>
  <c r="D44" i="1"/>
  <c r="D48" i="1"/>
  <c r="D52" i="1"/>
  <c r="D56" i="1"/>
  <c r="D60" i="1"/>
  <c r="D64" i="1"/>
  <c r="D68" i="1"/>
  <c r="D72" i="1"/>
  <c r="D76" i="1"/>
  <c r="D84" i="1"/>
  <c r="D36" i="1"/>
  <c r="C37" i="1"/>
  <c r="C41" i="1"/>
  <c r="C57" i="1"/>
  <c r="C73" i="1"/>
  <c r="C89" i="1"/>
  <c r="C71" i="1"/>
  <c r="C52" i="1"/>
  <c r="C84" i="1"/>
  <c r="C50" i="1"/>
  <c r="C66" i="1"/>
  <c r="C82" i="1"/>
  <c r="C59" i="1"/>
  <c r="C40" i="1"/>
  <c r="C72" i="1"/>
  <c r="C43" i="1"/>
  <c r="C56" i="1"/>
  <c r="C69" i="1"/>
  <c r="C63" i="1"/>
  <c r="C76" i="1"/>
  <c r="C62" i="1"/>
  <c r="C51" i="1"/>
  <c r="C64" i="1"/>
  <c r="C45" i="1"/>
  <c r="C61" i="1"/>
  <c r="C77" i="1"/>
  <c r="C47" i="1"/>
  <c r="C79" i="1"/>
  <c r="C60" i="1"/>
  <c r="C38" i="1"/>
  <c r="C54" i="1"/>
  <c r="C70" i="1"/>
  <c r="C86" i="1"/>
  <c r="C67" i="1"/>
  <c r="C48" i="1"/>
  <c r="C80" i="1"/>
  <c r="C49" i="1"/>
  <c r="C65" i="1"/>
  <c r="C81" i="1"/>
  <c r="C55" i="1"/>
  <c r="C87" i="1"/>
  <c r="C68" i="1"/>
  <c r="C42" i="1"/>
  <c r="C58" i="1"/>
  <c r="C74" i="1"/>
  <c r="C75" i="1"/>
  <c r="C88" i="1"/>
  <c r="C53" i="1"/>
  <c r="C85" i="1"/>
  <c r="C44" i="1"/>
  <c r="C46" i="1"/>
  <c r="C78" i="1"/>
  <c r="C83" i="1"/>
  <c r="C39" i="1"/>
  <c r="C36" i="1"/>
  <c r="F29" i="1"/>
  <c r="F31" i="1"/>
  <c r="E21" i="1"/>
  <c r="F21" i="1"/>
  <c r="D21" i="1"/>
  <c r="C22" i="1"/>
  <c r="C16" i="1"/>
  <c r="C10" i="1"/>
  <c r="H5" i="1"/>
  <c r="G5" i="1"/>
  <c r="F5" i="1"/>
  <c r="E5" i="1"/>
  <c r="B25" i="1"/>
  <c r="F19" i="1"/>
  <c r="C19" i="1"/>
  <c r="H3" i="1"/>
  <c r="F3" i="1"/>
  <c r="F32" i="1"/>
  <c r="F20" i="1"/>
  <c r="C20" i="1"/>
  <c r="C9" i="1"/>
  <c r="G4" i="1"/>
  <c r="E4" i="1"/>
  <c r="F33" i="1"/>
  <c r="B26" i="1"/>
  <c r="E22" i="1"/>
  <c r="F22" i="1"/>
  <c r="D22" i="1"/>
  <c r="C21" i="1"/>
  <c r="C15" i="1"/>
  <c r="C8" i="1"/>
  <c r="H2" i="1"/>
  <c r="G2" i="1"/>
  <c r="F2" i="1"/>
  <c r="E2" i="1"/>
  <c r="F30" i="1"/>
  <c r="E19" i="1"/>
  <c r="D19" i="1"/>
  <c r="C13" i="1"/>
  <c r="G3" i="1"/>
  <c r="E3" i="1"/>
  <c r="E20" i="1"/>
  <c r="D20" i="1"/>
  <c r="C14" i="1"/>
  <c r="H4" i="1"/>
  <c r="F4" i="1"/>
</calcChain>
</file>

<file path=xl/sharedStrings.xml><?xml version="1.0" encoding="utf-8"?>
<sst xmlns="http://schemas.openxmlformats.org/spreadsheetml/2006/main" count="45" uniqueCount="41">
  <si>
    <t>ilk kaydın kolonu</t>
  </si>
  <si>
    <t>ilk eksi</t>
  </si>
  <si>
    <t>ilkartı</t>
  </si>
  <si>
    <t>en küçük pozitif</t>
  </si>
  <si>
    <t>Aysonu</t>
  </si>
  <si>
    <t>ay</t>
  </si>
  <si>
    <t>yıl</t>
  </si>
  <si>
    <t>Değer1</t>
  </si>
  <si>
    <t>Değer2</t>
  </si>
  <si>
    <t>Değer3</t>
  </si>
  <si>
    <t>Değer4</t>
  </si>
  <si>
    <t>kar hg</t>
  </si>
  <si>
    <t>kar gerç</t>
  </si>
  <si>
    <t>kar hdf</t>
  </si>
  <si>
    <t>Değer</t>
  </si>
  <si>
    <t>ifnegatif</t>
  </si>
  <si>
    <t>ifsıfır</t>
  </si>
  <si>
    <t>ifxdenbüyükse</t>
  </si>
  <si>
    <t>a</t>
  </si>
  <si>
    <t>b</t>
  </si>
  <si>
    <t>c</t>
  </si>
  <si>
    <t>d</t>
  </si>
  <si>
    <t>ifnegatif klasik fomrül</t>
  </si>
  <si>
    <t>ifxdenküçükse</t>
  </si>
  <si>
    <t>şube kodu</t>
  </si>
  <si>
    <t>mail aderesi</t>
  </si>
  <si>
    <t>Miy1</t>
  </si>
  <si>
    <t>Miy2</t>
  </si>
  <si>
    <t>Miy3</t>
  </si>
  <si>
    <t>Miy4</t>
  </si>
  <si>
    <t>Sapma oranı</t>
  </si>
  <si>
    <t>en yüksek sapma burda</t>
  </si>
  <si>
    <t>en düşük sapma burda</t>
  </si>
  <si>
    <t>Şube</t>
  </si>
  <si>
    <t>burda tek kişi olduğu içi sonuç 0 dönüyor</t>
  </si>
  <si>
    <t>Şube kodu</t>
  </si>
  <si>
    <t>Rakam</t>
  </si>
  <si>
    <t>Dilim</t>
  </si>
  <si>
    <t>Kaçıncı Dilim</t>
  </si>
  <si>
    <t>Katsayı</t>
  </si>
  <si>
    <t>Etki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</si>
</sst>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rgb="FFFF0000"/>
      <name val="Calibri"/>
      <family val="2"/>
      <charset val="162"/>
      <scheme val="minor"/>
    </font>
    <font>
      <sz val="11"/>
      <color rgb="FF0070C0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2" fillId="0" borderId="0" xfId="0" applyFont="1"/>
    <xf numFmtId="0" fontId="0" fillId="2" borderId="0" xfId="0" applyFill="1"/>
    <xf numFmtId="9" fontId="0" fillId="0" borderId="0" xfId="1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3" fillId="0" borderId="0" xfId="0" applyFont="1" applyAlignment="1">
      <alignment wrapText="1"/>
    </xf>
    <xf numFmtId="9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46032-5BA6-459A-ABE3-3649F374E7EC}">
  <sheetPr codeName="Sheet1"/>
  <dimension ref="A1:H89"/>
  <sheetViews>
    <sheetView tabSelected="1" workbookViewId="0"/>
  </sheetViews>
  <sheetFormatPr defaultRowHeight="15" x14ac:dyDescent="0.25"/>
  <cols>
    <col min="5" max="8" width="15.85546875" customWidth="1"/>
  </cols>
  <sheetData>
    <row r="1" spans="1:8" x14ac:dyDescent="0.25">
      <c r="A1" t="s">
        <v>7</v>
      </c>
      <c r="B1" t="s">
        <v>8</v>
      </c>
      <c r="C1" t="s">
        <v>9</v>
      </c>
      <c r="D1" t="s">
        <v>10</v>
      </c>
      <c r="E1" s="1" t="s">
        <v>0</v>
      </c>
      <c r="F1" s="1" t="s">
        <v>1</v>
      </c>
      <c r="G1" s="1" t="s">
        <v>2</v>
      </c>
      <c r="H1" s="1" t="s">
        <v>3</v>
      </c>
    </row>
    <row r="2" spans="1:8" x14ac:dyDescent="0.25">
      <c r="A2">
        <v>154</v>
      </c>
      <c r="B2">
        <v>177</v>
      </c>
      <c r="C2">
        <v>-89</v>
      </c>
      <c r="D2">
        <v>446</v>
      </c>
      <c r="E2">
        <f>ilkkaydın_kolonu(A2:D2)</f>
        <v>1</v>
      </c>
      <c r="F2">
        <f>ilkeksi(A2:D2)</f>
        <v>3</v>
      </c>
      <c r="G2">
        <f>ilkartı(A2:D2)</f>
        <v>1</v>
      </c>
      <c r="H2">
        <f>enküçükpozitif(A2:D2)</f>
        <v>154</v>
      </c>
    </row>
    <row r="3" spans="1:8" x14ac:dyDescent="0.25">
      <c r="B3">
        <v>88</v>
      </c>
      <c r="C3">
        <v>188</v>
      </c>
      <c r="D3">
        <v>-42</v>
      </c>
      <c r="E3">
        <f t="shared" ref="E3:E5" si="0">ilkkaydın_kolonu(A3:D3)</f>
        <v>2</v>
      </c>
      <c r="F3">
        <f t="shared" ref="F3:F5" si="1">ilkeksi(A3:D3)</f>
        <v>4</v>
      </c>
      <c r="G3">
        <f t="shared" ref="G3:G5" si="2">ilkartı(A3:D3)</f>
        <v>2</v>
      </c>
      <c r="H3">
        <f t="shared" ref="H3:H5" si="3">enküçükpozitif(A3:D3)</f>
        <v>88</v>
      </c>
    </row>
    <row r="4" spans="1:8" x14ac:dyDescent="0.25">
      <c r="C4">
        <v>401</v>
      </c>
      <c r="D4">
        <v>87</v>
      </c>
      <c r="E4">
        <f t="shared" si="0"/>
        <v>3</v>
      </c>
      <c r="F4">
        <f t="shared" si="1"/>
        <v>0</v>
      </c>
      <c r="G4">
        <f t="shared" si="2"/>
        <v>3</v>
      </c>
      <c r="H4">
        <f t="shared" si="3"/>
        <v>87</v>
      </c>
    </row>
    <row r="5" spans="1:8" x14ac:dyDescent="0.25">
      <c r="A5">
        <v>419</v>
      </c>
      <c r="B5">
        <v>-5</v>
      </c>
      <c r="C5">
        <v>363</v>
      </c>
      <c r="D5">
        <v>411</v>
      </c>
      <c r="E5">
        <f t="shared" si="0"/>
        <v>1</v>
      </c>
      <c r="F5">
        <f t="shared" si="1"/>
        <v>2</v>
      </c>
      <c r="G5">
        <f t="shared" si="2"/>
        <v>1</v>
      </c>
      <c r="H5">
        <f t="shared" si="3"/>
        <v>363</v>
      </c>
    </row>
    <row r="6" spans="1:8" x14ac:dyDescent="0.25">
      <c r="A6" s="2"/>
      <c r="B6" s="2"/>
      <c r="C6" s="2"/>
      <c r="D6" s="2"/>
      <c r="E6" s="2"/>
      <c r="F6" s="2"/>
      <c r="G6" s="2"/>
      <c r="H6" s="2"/>
    </row>
    <row r="7" spans="1:8" x14ac:dyDescent="0.25">
      <c r="A7" t="s">
        <v>5</v>
      </c>
      <c r="B7" t="s">
        <v>6</v>
      </c>
      <c r="C7" s="1" t="s">
        <v>4</v>
      </c>
    </row>
    <row r="8" spans="1:8" x14ac:dyDescent="0.25">
      <c r="A8">
        <v>1</v>
      </c>
      <c r="B8">
        <v>2018</v>
      </c>
      <c r="C8" t="str">
        <f>aysonu(A8,B8)</f>
        <v>31.01.2018</v>
      </c>
    </row>
    <row r="9" spans="1:8" x14ac:dyDescent="0.25">
      <c r="A9">
        <v>12</v>
      </c>
      <c r="B9">
        <v>2019</v>
      </c>
      <c r="C9" t="str">
        <f t="shared" ref="C9:C10" si="4">aysonu(A9,B9)</f>
        <v>31.12.2019</v>
      </c>
    </row>
    <row r="10" spans="1:8" x14ac:dyDescent="0.25">
      <c r="A10">
        <v>13</v>
      </c>
      <c r="B10">
        <v>2020</v>
      </c>
      <c r="C10" t="str">
        <f t="shared" si="4"/>
        <v>*****Hata*****,Ben sadece 1 ve 12 arasındaki aylar için çalışırım</v>
      </c>
    </row>
    <row r="11" spans="1:8" x14ac:dyDescent="0.25">
      <c r="A11" s="2"/>
      <c r="B11" s="2"/>
      <c r="C11" s="2"/>
      <c r="D11" s="2"/>
      <c r="E11" s="2"/>
      <c r="F11" s="2"/>
      <c r="G11" s="2"/>
      <c r="H11" s="2"/>
    </row>
    <row r="12" spans="1:8" x14ac:dyDescent="0.25">
      <c r="A12" t="s">
        <v>12</v>
      </c>
      <c r="B12" t="s">
        <v>13</v>
      </c>
      <c r="C12" s="1" t="s">
        <v>11</v>
      </c>
    </row>
    <row r="13" spans="1:8" x14ac:dyDescent="0.25">
      <c r="A13">
        <v>150</v>
      </c>
      <c r="B13">
        <v>200</v>
      </c>
      <c r="C13" s="3">
        <f>karhg(A13,B13)</f>
        <v>0.75</v>
      </c>
    </row>
    <row r="14" spans="1:8" x14ac:dyDescent="0.25">
      <c r="A14">
        <v>30</v>
      </c>
      <c r="B14">
        <v>-20</v>
      </c>
      <c r="C14" s="3">
        <f t="shared" ref="C14:C16" si="5">karhg(A14,B14)</f>
        <v>3.5</v>
      </c>
    </row>
    <row r="15" spans="1:8" x14ac:dyDescent="0.25">
      <c r="A15">
        <v>-30</v>
      </c>
      <c r="B15">
        <v>-20</v>
      </c>
      <c r="C15" s="3">
        <f t="shared" si="5"/>
        <v>0.5</v>
      </c>
    </row>
    <row r="16" spans="1:8" x14ac:dyDescent="0.25">
      <c r="A16">
        <v>-100</v>
      </c>
      <c r="B16">
        <v>150</v>
      </c>
      <c r="C16" s="3">
        <f t="shared" si="5"/>
        <v>-0.66666666666666663</v>
      </c>
    </row>
    <row r="17" spans="1:8" x14ac:dyDescent="0.25">
      <c r="A17" s="2"/>
      <c r="B17" s="2"/>
      <c r="C17" s="2"/>
      <c r="D17" s="2"/>
      <c r="E17" s="2"/>
      <c r="F17" s="2"/>
      <c r="G17" s="2"/>
      <c r="H17" s="2"/>
    </row>
    <row r="18" spans="1:8" s="4" customFormat="1" ht="45" x14ac:dyDescent="0.25">
      <c r="A18" s="4" t="s">
        <v>14</v>
      </c>
      <c r="B18" s="6" t="s">
        <v>22</v>
      </c>
      <c r="C18" s="5" t="s">
        <v>15</v>
      </c>
      <c r="D18" s="5" t="s">
        <v>16</v>
      </c>
      <c r="E18" s="5" t="s">
        <v>23</v>
      </c>
      <c r="F18" s="5" t="s">
        <v>17</v>
      </c>
    </row>
    <row r="19" spans="1:8" x14ac:dyDescent="0.25">
      <c r="A19" t="s">
        <v>18</v>
      </c>
      <c r="B19">
        <f>IF(VLOOKUP(A19,$G$19:$H$22,2,0)&lt;0,0,VLOOKUP(A19,$G$19:$H$22,2,0))</f>
        <v>0</v>
      </c>
      <c r="C19">
        <f>ifnegatif(VLOOKUP(A19,$G$19:$H$22,2,0),0)</f>
        <v>0</v>
      </c>
      <c r="D19">
        <f>ifsıfır(VLOOKUP(A19,$G$19:$H$22,2,0),1)</f>
        <v>-10</v>
      </c>
      <c r="E19" t="str">
        <f>ifxdenküçükse(VLOOKUP(A19,$G$19:$H$22,2,0),100,"cezalı")</f>
        <v>cezalı</v>
      </c>
      <c r="F19">
        <f>ifxdenbüyükse(VLOOKUP(A19,$G$19:$H$22,2,0),100,"uygun değil")</f>
        <v>-10</v>
      </c>
      <c r="G19" t="s">
        <v>19</v>
      </c>
      <c r="H19">
        <v>10</v>
      </c>
    </row>
    <row r="20" spans="1:8" x14ac:dyDescent="0.25">
      <c r="A20" t="s">
        <v>19</v>
      </c>
      <c r="B20">
        <f t="shared" ref="B20:B22" si="6">IF(VLOOKUP(A20,$G$19:$H$22,2,0)&lt;0,0,VLOOKUP(A20,$G$19:$H$22,2,0))</f>
        <v>10</v>
      </c>
      <c r="C20">
        <f t="shared" ref="C20:C22" si="7">ifnegatif(VLOOKUP(A20,$G$19:$H$22,2,0),0)</f>
        <v>10</v>
      </c>
      <c r="D20">
        <f t="shared" ref="D20:D22" si="8">ifsıfır(VLOOKUP(A20,$G$19:$H$22,2,0),1)</f>
        <v>10</v>
      </c>
      <c r="E20" t="str">
        <f t="shared" ref="E20:E22" si="9">ifxdenküçükse(VLOOKUP(A20,$G$19:$H$22,2,0),100,"cezalı")</f>
        <v>cezalı</v>
      </c>
      <c r="F20">
        <f t="shared" ref="F20:F22" si="10">ifxdenbüyükse(VLOOKUP(A20,$G$19:$H$22,2,0),100,"uygun değil")</f>
        <v>10</v>
      </c>
      <c r="G20" t="s">
        <v>18</v>
      </c>
      <c r="H20">
        <v>-10</v>
      </c>
    </row>
    <row r="21" spans="1:8" x14ac:dyDescent="0.25">
      <c r="A21" t="s">
        <v>20</v>
      </c>
      <c r="B21">
        <f t="shared" si="6"/>
        <v>0</v>
      </c>
      <c r="C21">
        <f t="shared" si="7"/>
        <v>0</v>
      </c>
      <c r="D21">
        <f t="shared" si="8"/>
        <v>1</v>
      </c>
      <c r="E21" t="str">
        <f t="shared" si="9"/>
        <v>cezalı</v>
      </c>
      <c r="F21">
        <f t="shared" si="10"/>
        <v>0</v>
      </c>
      <c r="G21" t="s">
        <v>20</v>
      </c>
      <c r="H21">
        <v>0</v>
      </c>
    </row>
    <row r="22" spans="1:8" x14ac:dyDescent="0.25">
      <c r="A22" t="s">
        <v>21</v>
      </c>
      <c r="B22">
        <f t="shared" si="6"/>
        <v>120</v>
      </c>
      <c r="C22">
        <f t="shared" si="7"/>
        <v>120</v>
      </c>
      <c r="D22">
        <f t="shared" si="8"/>
        <v>120</v>
      </c>
      <c r="E22">
        <f t="shared" si="9"/>
        <v>120</v>
      </c>
      <c r="F22" t="str">
        <f t="shared" si="10"/>
        <v>uygun değil</v>
      </c>
      <c r="G22" t="s">
        <v>21</v>
      </c>
      <c r="H22">
        <v>120</v>
      </c>
    </row>
    <row r="23" spans="1:8" x14ac:dyDescent="0.25">
      <c r="A23" s="2"/>
      <c r="B23" s="2"/>
      <c r="C23" s="2"/>
      <c r="D23" s="2"/>
      <c r="E23" s="2"/>
      <c r="F23" s="2"/>
      <c r="G23" s="2"/>
      <c r="H23" s="2"/>
    </row>
    <row r="24" spans="1:8" x14ac:dyDescent="0.25">
      <c r="A24" t="s">
        <v>24</v>
      </c>
      <c r="B24" s="1" t="s">
        <v>25</v>
      </c>
    </row>
    <row r="25" spans="1:8" x14ac:dyDescent="0.25">
      <c r="A25">
        <v>2</v>
      </c>
      <c r="B25" t="str">
        <f>subenin_muduru(A25)</f>
        <v>0002.10@xbank.local</v>
      </c>
    </row>
    <row r="26" spans="1:8" x14ac:dyDescent="0.25">
      <c r="A26">
        <v>3</v>
      </c>
      <c r="B26" t="str">
        <f>subenin_muduru(A26)</f>
        <v>0003.10@xbank.local</v>
      </c>
    </row>
    <row r="27" spans="1:8" x14ac:dyDescent="0.25">
      <c r="A27" s="2"/>
      <c r="B27" s="2"/>
      <c r="C27" s="2"/>
      <c r="D27" s="2"/>
      <c r="E27" s="2"/>
      <c r="F27" s="2"/>
      <c r="G27" s="2"/>
      <c r="H27" s="2"/>
    </row>
    <row r="28" spans="1:8" x14ac:dyDescent="0.25">
      <c r="A28" t="s">
        <v>33</v>
      </c>
      <c r="B28" t="s">
        <v>26</v>
      </c>
      <c r="C28" t="s">
        <v>27</v>
      </c>
      <c r="D28" t="s">
        <v>28</v>
      </c>
      <c r="E28" t="s">
        <v>29</v>
      </c>
      <c r="F28" s="1" t="s">
        <v>30</v>
      </c>
    </row>
    <row r="29" spans="1:8" x14ac:dyDescent="0.25">
      <c r="A29">
        <v>2</v>
      </c>
      <c r="B29">
        <v>2669</v>
      </c>
      <c r="C29">
        <v>1963</v>
      </c>
      <c r="F29" s="7">
        <f>sapmaoranı(B29:E29)</f>
        <v>0.21555154901455206</v>
      </c>
    </row>
    <row r="30" spans="1:8" x14ac:dyDescent="0.25">
      <c r="A30">
        <v>3</v>
      </c>
      <c r="B30">
        <v>1048</v>
      </c>
      <c r="C30">
        <v>1053</v>
      </c>
      <c r="D30">
        <v>1080</v>
      </c>
      <c r="E30">
        <v>1048</v>
      </c>
      <c r="F30" s="7">
        <f t="shared" ref="F30:F32" si="11">sapmaoranı(B30:E30)</f>
        <v>1.4517592016827046E-2</v>
      </c>
      <c r="G30" t="s">
        <v>32</v>
      </c>
    </row>
    <row r="31" spans="1:8" x14ac:dyDescent="0.25">
      <c r="A31">
        <v>4</v>
      </c>
      <c r="B31">
        <v>1302</v>
      </c>
      <c r="C31">
        <v>1216</v>
      </c>
      <c r="D31">
        <v>1085</v>
      </c>
      <c r="F31" s="7">
        <f t="shared" si="11"/>
        <v>9.0986580141448711E-2</v>
      </c>
    </row>
    <row r="32" spans="1:8" x14ac:dyDescent="0.25">
      <c r="A32">
        <v>5</v>
      </c>
      <c r="B32">
        <v>1808</v>
      </c>
      <c r="C32">
        <v>1479</v>
      </c>
      <c r="D32">
        <v>1983</v>
      </c>
      <c r="E32">
        <v>3000</v>
      </c>
      <c r="F32" s="7">
        <f t="shared" si="11"/>
        <v>0.31721288142446424</v>
      </c>
      <c r="G32" t="s">
        <v>31</v>
      </c>
    </row>
    <row r="33" spans="1:8" x14ac:dyDescent="0.25">
      <c r="A33">
        <v>6</v>
      </c>
      <c r="B33">
        <v>1504</v>
      </c>
      <c r="F33" s="7">
        <f>sapmaoranı(B33:E33)</f>
        <v>0</v>
      </c>
      <c r="G33" t="s">
        <v>34</v>
      </c>
    </row>
    <row r="34" spans="1:8" x14ac:dyDescent="0.25">
      <c r="A34" s="2"/>
      <c r="B34" s="2"/>
      <c r="C34" s="2"/>
      <c r="D34" s="2"/>
      <c r="E34" s="2"/>
      <c r="F34" s="2"/>
      <c r="G34" s="2"/>
      <c r="H34" s="2"/>
    </row>
    <row r="35" spans="1:8" x14ac:dyDescent="0.25">
      <c r="A35" t="s">
        <v>35</v>
      </c>
      <c r="B35" t="s">
        <v>36</v>
      </c>
      <c r="C35" s="1" t="s">
        <v>38</v>
      </c>
      <c r="D35" s="1" t="s">
        <v>39</v>
      </c>
      <c r="E35" t="s">
        <v>37</v>
      </c>
      <c r="F35">
        <v>5</v>
      </c>
      <c r="G35" t="s">
        <v>40</v>
      </c>
      <c r="H35">
        <v>0.4</v>
      </c>
    </row>
    <row r="36" spans="1:8" x14ac:dyDescent="0.25">
      <c r="A36">
        <v>2</v>
      </c>
      <c r="B36">
        <v>388</v>
      </c>
      <c r="C36">
        <f>kaçıncı_dilimde(B36,$F$35)</f>
        <v>4</v>
      </c>
      <c r="D36">
        <f>katsayı_hesapla(B36,$F$35,$H$35,FALSE)</f>
        <v>0.8</v>
      </c>
    </row>
    <row r="37" spans="1:8" x14ac:dyDescent="0.25">
      <c r="A37">
        <v>3</v>
      </c>
      <c r="B37">
        <v>304</v>
      </c>
      <c r="C37">
        <f>kaçıncı_dilimde(B37,$F$35)</f>
        <v>4</v>
      </c>
      <c r="D37">
        <f t="shared" ref="D37:D89" si="12">katsayı_hesapla(B37,$F$35,$H$35,FALSE)</f>
        <v>0.8</v>
      </c>
    </row>
    <row r="38" spans="1:8" x14ac:dyDescent="0.25">
      <c r="A38">
        <v>4</v>
      </c>
      <c r="B38">
        <v>509</v>
      </c>
      <c r="C38">
        <f>kaçıncı_dilimde(B38,$F$35)</f>
        <v>3</v>
      </c>
      <c r="D38">
        <f t="shared" si="12"/>
        <v>1</v>
      </c>
    </row>
    <row r="39" spans="1:8" x14ac:dyDescent="0.25">
      <c r="A39">
        <v>5</v>
      </c>
      <c r="B39">
        <v>248</v>
      </c>
      <c r="C39">
        <f>kaçıncı_dilimde(B39,$F$35)</f>
        <v>5</v>
      </c>
      <c r="D39">
        <f t="shared" si="12"/>
        <v>0.6</v>
      </c>
    </row>
    <row r="40" spans="1:8" x14ac:dyDescent="0.25">
      <c r="A40">
        <v>6</v>
      </c>
      <c r="B40">
        <v>147</v>
      </c>
      <c r="C40">
        <f>kaçıncı_dilimde(B40,$F$35)</f>
        <v>5</v>
      </c>
      <c r="D40">
        <f t="shared" si="12"/>
        <v>0.6</v>
      </c>
    </row>
    <row r="41" spans="1:8" x14ac:dyDescent="0.25">
      <c r="A41">
        <v>7</v>
      </c>
      <c r="B41">
        <v>694</v>
      </c>
      <c r="C41">
        <f>kaçıncı_dilimde(B41,$F$35)</f>
        <v>2</v>
      </c>
      <c r="D41">
        <f t="shared" si="12"/>
        <v>1.2000000000000002</v>
      </c>
    </row>
    <row r="42" spans="1:8" x14ac:dyDescent="0.25">
      <c r="A42">
        <v>8</v>
      </c>
      <c r="B42">
        <v>334</v>
      </c>
      <c r="C42">
        <f>kaçıncı_dilimde(B42,$F$35)</f>
        <v>4</v>
      </c>
      <c r="D42">
        <f t="shared" si="12"/>
        <v>0.8</v>
      </c>
    </row>
    <row r="43" spans="1:8" x14ac:dyDescent="0.25">
      <c r="A43">
        <v>9</v>
      </c>
      <c r="B43">
        <v>479</v>
      </c>
      <c r="C43">
        <f>kaçıncı_dilimde(B43,$F$35)</f>
        <v>3</v>
      </c>
      <c r="D43">
        <f t="shared" si="12"/>
        <v>1</v>
      </c>
    </row>
    <row r="44" spans="1:8" x14ac:dyDescent="0.25">
      <c r="A44">
        <v>10</v>
      </c>
      <c r="B44">
        <v>629</v>
      </c>
      <c r="C44">
        <f>kaçıncı_dilimde(B44,$F$35)</f>
        <v>3</v>
      </c>
      <c r="D44">
        <f t="shared" si="12"/>
        <v>1</v>
      </c>
    </row>
    <row r="45" spans="1:8" x14ac:dyDescent="0.25">
      <c r="A45">
        <v>11</v>
      </c>
      <c r="B45">
        <v>396</v>
      </c>
      <c r="C45">
        <f>kaçıncı_dilimde(B45,$F$35)</f>
        <v>4</v>
      </c>
      <c r="D45">
        <f t="shared" si="12"/>
        <v>0.8</v>
      </c>
    </row>
    <row r="46" spans="1:8" x14ac:dyDescent="0.25">
      <c r="A46">
        <v>12</v>
      </c>
      <c r="B46">
        <v>936</v>
      </c>
      <c r="C46">
        <f>kaçıncı_dilimde(B46,$F$35)</f>
        <v>1</v>
      </c>
      <c r="D46">
        <f t="shared" si="12"/>
        <v>1.4</v>
      </c>
    </row>
    <row r="47" spans="1:8" x14ac:dyDescent="0.25">
      <c r="A47">
        <v>13</v>
      </c>
      <c r="B47">
        <v>171</v>
      </c>
      <c r="C47">
        <f>kaçıncı_dilimde(B47,$F$35)</f>
        <v>5</v>
      </c>
      <c r="D47">
        <f t="shared" si="12"/>
        <v>0.6</v>
      </c>
    </row>
    <row r="48" spans="1:8" x14ac:dyDescent="0.25">
      <c r="A48">
        <v>14</v>
      </c>
      <c r="B48">
        <v>822</v>
      </c>
      <c r="C48">
        <f>kaçıncı_dilimde(B48,$F$35)</f>
        <v>1</v>
      </c>
      <c r="D48">
        <f t="shared" si="12"/>
        <v>1.4</v>
      </c>
    </row>
    <row r="49" spans="1:4" x14ac:dyDescent="0.25">
      <c r="A49">
        <v>15</v>
      </c>
      <c r="B49">
        <v>769</v>
      </c>
      <c r="C49">
        <f>kaçıncı_dilimde(B49,$F$35)</f>
        <v>2</v>
      </c>
      <c r="D49">
        <f t="shared" si="12"/>
        <v>1.2000000000000002</v>
      </c>
    </row>
    <row r="50" spans="1:4" x14ac:dyDescent="0.25">
      <c r="A50">
        <v>16</v>
      </c>
      <c r="B50">
        <v>774</v>
      </c>
      <c r="C50">
        <f>kaçıncı_dilimde(B50,$F$35)</f>
        <v>2</v>
      </c>
      <c r="D50">
        <f t="shared" si="12"/>
        <v>1.2000000000000002</v>
      </c>
    </row>
    <row r="51" spans="1:4" x14ac:dyDescent="0.25">
      <c r="A51">
        <v>17</v>
      </c>
      <c r="B51">
        <v>418</v>
      </c>
      <c r="C51">
        <f>kaçıncı_dilimde(B51,$F$35)</f>
        <v>4</v>
      </c>
      <c r="D51">
        <f t="shared" si="12"/>
        <v>0.8</v>
      </c>
    </row>
    <row r="52" spans="1:4" x14ac:dyDescent="0.25">
      <c r="A52">
        <v>18</v>
      </c>
      <c r="B52">
        <v>899</v>
      </c>
      <c r="C52">
        <f>kaçıncı_dilimde(B52,$F$35)</f>
        <v>1</v>
      </c>
      <c r="D52">
        <f t="shared" si="12"/>
        <v>1.4</v>
      </c>
    </row>
    <row r="53" spans="1:4" x14ac:dyDescent="0.25">
      <c r="A53">
        <v>19</v>
      </c>
      <c r="B53">
        <v>134</v>
      </c>
      <c r="C53">
        <f>kaçıncı_dilimde(B53,$F$35)</f>
        <v>5</v>
      </c>
      <c r="D53">
        <f t="shared" si="12"/>
        <v>0.6</v>
      </c>
    </row>
    <row r="54" spans="1:4" x14ac:dyDescent="0.25">
      <c r="A54">
        <v>20</v>
      </c>
      <c r="B54">
        <v>896</v>
      </c>
      <c r="C54">
        <f>kaçıncı_dilimde(B54,$F$35)</f>
        <v>1</v>
      </c>
      <c r="D54">
        <f t="shared" si="12"/>
        <v>1.4</v>
      </c>
    </row>
    <row r="55" spans="1:4" x14ac:dyDescent="0.25">
      <c r="A55">
        <v>21</v>
      </c>
      <c r="B55">
        <v>103</v>
      </c>
      <c r="C55">
        <f>kaçıncı_dilimde(B55,$F$35)</f>
        <v>6</v>
      </c>
      <c r="D55">
        <f t="shared" si="12"/>
        <v>0.39999999999999997</v>
      </c>
    </row>
    <row r="56" spans="1:4" x14ac:dyDescent="0.25">
      <c r="A56">
        <v>22</v>
      </c>
      <c r="B56">
        <v>557</v>
      </c>
      <c r="C56">
        <f>kaçıncı_dilimde(B56,$F$35)</f>
        <v>3</v>
      </c>
      <c r="D56">
        <f t="shared" si="12"/>
        <v>1</v>
      </c>
    </row>
    <row r="57" spans="1:4" x14ac:dyDescent="0.25">
      <c r="A57">
        <v>23</v>
      </c>
      <c r="B57">
        <v>134</v>
      </c>
      <c r="C57">
        <f>kaçıncı_dilimde(B57,$F$35)</f>
        <v>5</v>
      </c>
      <c r="D57">
        <f t="shared" si="12"/>
        <v>0.6</v>
      </c>
    </row>
    <row r="58" spans="1:4" x14ac:dyDescent="0.25">
      <c r="A58">
        <v>24</v>
      </c>
      <c r="B58">
        <v>804</v>
      </c>
      <c r="C58">
        <f>kaçıncı_dilimde(B58,$F$35)</f>
        <v>1</v>
      </c>
      <c r="D58">
        <f t="shared" si="12"/>
        <v>1.4</v>
      </c>
    </row>
    <row r="59" spans="1:4" x14ac:dyDescent="0.25">
      <c r="A59">
        <v>25</v>
      </c>
      <c r="B59">
        <v>236</v>
      </c>
      <c r="C59">
        <f>kaçıncı_dilimde(B59,$F$35)</f>
        <v>5</v>
      </c>
      <c r="D59">
        <f t="shared" si="12"/>
        <v>0.6</v>
      </c>
    </row>
    <row r="60" spans="1:4" x14ac:dyDescent="0.25">
      <c r="A60">
        <v>26</v>
      </c>
      <c r="B60">
        <v>574</v>
      </c>
      <c r="C60">
        <f>kaçıncı_dilimde(B60,$F$35)</f>
        <v>3</v>
      </c>
      <c r="D60">
        <f t="shared" si="12"/>
        <v>1</v>
      </c>
    </row>
    <row r="61" spans="1:4" x14ac:dyDescent="0.25">
      <c r="A61">
        <v>27</v>
      </c>
      <c r="B61">
        <v>120</v>
      </c>
      <c r="C61">
        <f>kaçıncı_dilimde(B61,$F$35)</f>
        <v>5</v>
      </c>
      <c r="D61">
        <f t="shared" si="12"/>
        <v>0.6</v>
      </c>
    </row>
    <row r="62" spans="1:4" x14ac:dyDescent="0.25">
      <c r="A62">
        <v>28</v>
      </c>
      <c r="B62">
        <v>700</v>
      </c>
      <c r="C62">
        <f>kaçıncı_dilimde(B62,$F$35)</f>
        <v>2</v>
      </c>
      <c r="D62">
        <f t="shared" si="12"/>
        <v>1.2000000000000002</v>
      </c>
    </row>
    <row r="63" spans="1:4" x14ac:dyDescent="0.25">
      <c r="A63">
        <v>29</v>
      </c>
      <c r="B63">
        <v>940</v>
      </c>
      <c r="C63">
        <f>kaçıncı_dilimde(B63,$F$35)</f>
        <v>1</v>
      </c>
      <c r="D63">
        <f t="shared" si="12"/>
        <v>1.4</v>
      </c>
    </row>
    <row r="64" spans="1:4" x14ac:dyDescent="0.25">
      <c r="A64">
        <v>30</v>
      </c>
      <c r="B64">
        <v>650</v>
      </c>
      <c r="C64">
        <f>kaçıncı_dilimde(B64,$F$35)</f>
        <v>2</v>
      </c>
      <c r="D64">
        <f t="shared" si="12"/>
        <v>1.2000000000000002</v>
      </c>
    </row>
    <row r="65" spans="1:4" x14ac:dyDescent="0.25">
      <c r="A65">
        <v>31</v>
      </c>
      <c r="B65">
        <v>814</v>
      </c>
      <c r="C65">
        <f>kaçıncı_dilimde(B65,$F$35)</f>
        <v>1</v>
      </c>
      <c r="D65">
        <f t="shared" si="12"/>
        <v>1.4</v>
      </c>
    </row>
    <row r="66" spans="1:4" x14ac:dyDescent="0.25">
      <c r="A66">
        <v>32</v>
      </c>
      <c r="B66">
        <v>296</v>
      </c>
      <c r="C66">
        <f>kaçıncı_dilimde(B66,$F$35)</f>
        <v>4</v>
      </c>
      <c r="D66">
        <f t="shared" si="12"/>
        <v>0.8</v>
      </c>
    </row>
    <row r="67" spans="1:4" x14ac:dyDescent="0.25">
      <c r="A67">
        <v>33</v>
      </c>
      <c r="B67">
        <v>764</v>
      </c>
      <c r="C67">
        <f>kaçıncı_dilimde(B67,$F$35)</f>
        <v>2</v>
      </c>
      <c r="D67">
        <f t="shared" si="12"/>
        <v>1.2000000000000002</v>
      </c>
    </row>
    <row r="68" spans="1:4" x14ac:dyDescent="0.25">
      <c r="A68">
        <v>34</v>
      </c>
      <c r="B68">
        <v>603</v>
      </c>
      <c r="C68">
        <f>kaçıncı_dilimde(B68,$F$35)</f>
        <v>3</v>
      </c>
      <c r="D68">
        <f t="shared" si="12"/>
        <v>1</v>
      </c>
    </row>
    <row r="69" spans="1:4" x14ac:dyDescent="0.25">
      <c r="A69">
        <v>35</v>
      </c>
      <c r="B69">
        <v>669</v>
      </c>
      <c r="C69">
        <f>kaçıncı_dilimde(B69,$F$35)</f>
        <v>2</v>
      </c>
      <c r="D69">
        <f t="shared" si="12"/>
        <v>1.2000000000000002</v>
      </c>
    </row>
    <row r="70" spans="1:4" x14ac:dyDescent="0.25">
      <c r="A70">
        <v>36</v>
      </c>
      <c r="B70">
        <v>980</v>
      </c>
      <c r="C70">
        <f>kaçıncı_dilimde(B70,$F$35)</f>
        <v>1</v>
      </c>
      <c r="D70">
        <f t="shared" si="12"/>
        <v>1.4</v>
      </c>
    </row>
    <row r="71" spans="1:4" x14ac:dyDescent="0.25">
      <c r="A71">
        <v>37</v>
      </c>
      <c r="B71">
        <v>315</v>
      </c>
      <c r="C71">
        <f>kaçıncı_dilimde(B71,$F$35)</f>
        <v>4</v>
      </c>
      <c r="D71">
        <f t="shared" si="12"/>
        <v>0.8</v>
      </c>
    </row>
    <row r="72" spans="1:4" x14ac:dyDescent="0.25">
      <c r="A72">
        <v>38</v>
      </c>
      <c r="B72">
        <v>240</v>
      </c>
      <c r="C72">
        <f>kaçıncı_dilimde(B72,$F$35)</f>
        <v>5</v>
      </c>
      <c r="D72">
        <f t="shared" si="12"/>
        <v>0.6</v>
      </c>
    </row>
    <row r="73" spans="1:4" x14ac:dyDescent="0.25">
      <c r="A73">
        <v>39</v>
      </c>
      <c r="B73">
        <v>212</v>
      </c>
      <c r="C73">
        <f>kaçıncı_dilimde(B73,$F$35)</f>
        <v>5</v>
      </c>
      <c r="D73">
        <f t="shared" si="12"/>
        <v>0.6</v>
      </c>
    </row>
    <row r="74" spans="1:4" x14ac:dyDescent="0.25">
      <c r="A74">
        <v>40</v>
      </c>
      <c r="B74">
        <v>327</v>
      </c>
      <c r="C74">
        <f>kaçıncı_dilimde(B74,$F$35)</f>
        <v>4</v>
      </c>
      <c r="D74">
        <f t="shared" si="12"/>
        <v>0.8</v>
      </c>
    </row>
    <row r="75" spans="1:4" x14ac:dyDescent="0.25">
      <c r="A75">
        <v>41</v>
      </c>
      <c r="B75">
        <v>641</v>
      </c>
      <c r="C75">
        <f>kaçıncı_dilimde(B75,$F$35)</f>
        <v>3</v>
      </c>
      <c r="D75">
        <f t="shared" si="12"/>
        <v>1</v>
      </c>
    </row>
    <row r="76" spans="1:4" x14ac:dyDescent="0.25">
      <c r="A76">
        <v>42</v>
      </c>
      <c r="B76">
        <v>770</v>
      </c>
      <c r="C76">
        <f>kaçıncı_dilimde(B76,$F$35)</f>
        <v>2</v>
      </c>
      <c r="D76">
        <f t="shared" si="12"/>
        <v>1.2000000000000002</v>
      </c>
    </row>
    <row r="77" spans="1:4" x14ac:dyDescent="0.25">
      <c r="A77">
        <v>43</v>
      </c>
      <c r="B77">
        <v>754</v>
      </c>
      <c r="C77">
        <f>kaçıncı_dilimde(B77,$F$35)</f>
        <v>2</v>
      </c>
      <c r="D77">
        <f t="shared" si="12"/>
        <v>1.2000000000000002</v>
      </c>
    </row>
    <row r="78" spans="1:4" x14ac:dyDescent="0.25">
      <c r="A78">
        <v>44</v>
      </c>
      <c r="B78">
        <v>331</v>
      </c>
      <c r="C78">
        <f>kaçıncı_dilimde(B78,$F$35)</f>
        <v>4</v>
      </c>
      <c r="D78">
        <f t="shared" si="12"/>
        <v>0.8</v>
      </c>
    </row>
    <row r="79" spans="1:4" x14ac:dyDescent="0.25">
      <c r="A79">
        <v>45</v>
      </c>
      <c r="B79">
        <v>112</v>
      </c>
      <c r="C79">
        <f>kaçıncı_dilimde(B79,$F$35)</f>
        <v>5</v>
      </c>
      <c r="D79">
        <f t="shared" si="12"/>
        <v>0.6</v>
      </c>
    </row>
    <row r="80" spans="1:4" x14ac:dyDescent="0.25">
      <c r="A80">
        <v>46</v>
      </c>
      <c r="B80">
        <v>614</v>
      </c>
      <c r="C80">
        <f>kaçıncı_dilimde(B80,$F$35)</f>
        <v>3</v>
      </c>
      <c r="D80">
        <f t="shared" si="12"/>
        <v>1</v>
      </c>
    </row>
    <row r="81" spans="1:4" x14ac:dyDescent="0.25">
      <c r="A81">
        <v>47</v>
      </c>
      <c r="B81">
        <v>774</v>
      </c>
      <c r="C81">
        <f>kaçıncı_dilimde(B81,$F$35)</f>
        <v>2</v>
      </c>
      <c r="D81">
        <f t="shared" si="12"/>
        <v>1.2000000000000002</v>
      </c>
    </row>
    <row r="82" spans="1:4" x14ac:dyDescent="0.25">
      <c r="A82">
        <v>48</v>
      </c>
      <c r="B82">
        <v>529</v>
      </c>
      <c r="C82">
        <f>kaçıncı_dilimde(B82,$F$35)</f>
        <v>3</v>
      </c>
      <c r="D82">
        <f t="shared" si="12"/>
        <v>1</v>
      </c>
    </row>
    <row r="83" spans="1:4" x14ac:dyDescent="0.25">
      <c r="A83">
        <v>49</v>
      </c>
      <c r="B83">
        <v>795</v>
      </c>
      <c r="C83">
        <f>kaçıncı_dilimde(B83,$F$35)</f>
        <v>1</v>
      </c>
      <c r="D83">
        <f t="shared" si="12"/>
        <v>1.4</v>
      </c>
    </row>
    <row r="84" spans="1:4" x14ac:dyDescent="0.25">
      <c r="A84">
        <v>50</v>
      </c>
      <c r="B84">
        <v>399</v>
      </c>
      <c r="C84">
        <f>kaçıncı_dilimde(B84,$F$35)</f>
        <v>4</v>
      </c>
      <c r="D84">
        <f t="shared" si="12"/>
        <v>0.8</v>
      </c>
    </row>
    <row r="85" spans="1:4" x14ac:dyDescent="0.25">
      <c r="A85">
        <v>51</v>
      </c>
      <c r="B85">
        <v>964</v>
      </c>
      <c r="C85">
        <f>kaçıncı_dilimde(B85,$F$35)</f>
        <v>1</v>
      </c>
      <c r="D85">
        <f t="shared" si="12"/>
        <v>1.4</v>
      </c>
    </row>
    <row r="86" spans="1:4" x14ac:dyDescent="0.25">
      <c r="A86">
        <v>52</v>
      </c>
      <c r="B86">
        <v>559</v>
      </c>
      <c r="C86">
        <f>kaçıncı_dilimde(B86,$F$35)</f>
        <v>3</v>
      </c>
      <c r="D86">
        <f t="shared" si="12"/>
        <v>1</v>
      </c>
    </row>
    <row r="87" spans="1:4" x14ac:dyDescent="0.25">
      <c r="A87">
        <v>53</v>
      </c>
      <c r="B87">
        <v>420</v>
      </c>
      <c r="C87">
        <f>kaçıncı_dilimde(B87,$F$35)</f>
        <v>4</v>
      </c>
      <c r="D87">
        <f t="shared" si="12"/>
        <v>0.8</v>
      </c>
    </row>
    <row r="88" spans="1:4" x14ac:dyDescent="0.25">
      <c r="A88">
        <v>54</v>
      </c>
      <c r="B88">
        <v>674</v>
      </c>
      <c r="C88">
        <f>kaçıncı_dilimde(B88,$F$35)</f>
        <v>2</v>
      </c>
      <c r="D88">
        <f t="shared" si="12"/>
        <v>1.2000000000000002</v>
      </c>
    </row>
    <row r="89" spans="1:4" x14ac:dyDescent="0.25">
      <c r="A89">
        <v>55</v>
      </c>
      <c r="B89">
        <v>454</v>
      </c>
      <c r="C89">
        <f>kaçıncı_dilimde(B89,$F$35)</f>
        <v>3</v>
      </c>
      <c r="D89">
        <f t="shared" si="12"/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Volkan</dc:creator>
  <cp:lastModifiedBy>Volkan</cp:lastModifiedBy>
  <dcterms:created xsi:type="dcterms:W3CDTF">2018-10-27T09:19:30Z</dcterms:created>
  <dcterms:modified xsi:type="dcterms:W3CDTF">2018-10-27T20:59:25Z</dcterms:modified>
</cp:coreProperties>
</file>