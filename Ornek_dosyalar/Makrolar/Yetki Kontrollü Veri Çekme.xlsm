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pnettest\excelefendiana\Ornek_dosyalar\Makrolar\"/>
    </mc:Choice>
  </mc:AlternateContent>
  <xr:revisionPtr revIDLastSave="0" documentId="13_ncr:1_{AF0E4A83-217D-4783-8869-0D27EA1B299F}" xr6:coauthVersionLast="40" xr6:coauthVersionMax="40" xr10:uidLastSave="{00000000-0000-0000-0000-000000000000}"/>
  <bookViews>
    <workbookView xWindow="0" yWindow="0" windowWidth="20490" windowHeight="6945" xr2:uid="{21D59BCB-C023-47A1-8AEC-2794E062110E}"/>
  </bookViews>
  <sheets>
    <sheet name="Karne" sheetId="1" r:id="rId1"/>
    <sheet name="data" sheetId="2" state="hidden" r:id="rId2"/>
    <sheet name="yetki" sheetId="3" r:id="rId3"/>
  </sheets>
  <definedNames>
    <definedName name="blg">Karne!$I$1</definedName>
    <definedName name="Bölge1">Karne!$K$2:$K$4</definedName>
    <definedName name="Bölge2">Karne!$L$2:$L$3</definedName>
    <definedName name="Bölge3">Karne!$M$2:$M$5</definedName>
    <definedName name="kull">Karne!$G$1</definedName>
    <definedName name="şb">Karne!$J$1</definedName>
    <definedName name="yetki">Karne!$H$1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1" l="1"/>
  <c r="I1" i="1"/>
  <c r="H1" i="1"/>
  <c r="B7" i="1"/>
  <c r="C7" i="1"/>
  <c r="B8" i="1"/>
  <c r="C8" i="1"/>
  <c r="C6" i="1"/>
  <c r="B6" i="1"/>
  <c r="D7" i="1" l="1"/>
  <c r="D8" i="1"/>
  <c r="D6" i="1"/>
</calcChain>
</file>

<file path=xl/sharedStrings.xml><?xml version="1.0" encoding="utf-8"?>
<sst xmlns="http://schemas.openxmlformats.org/spreadsheetml/2006/main" count="163" uniqueCount="44">
  <si>
    <t>Bölge</t>
  </si>
  <si>
    <t>Şube</t>
  </si>
  <si>
    <t>Ürün</t>
  </si>
  <si>
    <t>Gerçekleşen</t>
  </si>
  <si>
    <t>Hedef</t>
  </si>
  <si>
    <t>HG%</t>
  </si>
  <si>
    <t>Bölge1</t>
  </si>
  <si>
    <t>Bölge2</t>
  </si>
  <si>
    <t>Bölge3</t>
  </si>
  <si>
    <t>Şube1</t>
  </si>
  <si>
    <t>Ürün1</t>
  </si>
  <si>
    <t>Ürün2</t>
  </si>
  <si>
    <t>Ürün3</t>
  </si>
  <si>
    <t>Şube2</t>
  </si>
  <si>
    <t>Şube3</t>
  </si>
  <si>
    <t>Şube4</t>
  </si>
  <si>
    <t>Şube5</t>
  </si>
  <si>
    <t>Şube6</t>
  </si>
  <si>
    <t>Şube7</t>
  </si>
  <si>
    <t>Şube8</t>
  </si>
  <si>
    <t>Şube9</t>
  </si>
  <si>
    <t>Gerç</t>
  </si>
  <si>
    <t>ürün</t>
  </si>
  <si>
    <t>şube</t>
  </si>
  <si>
    <t>Sicil</t>
  </si>
  <si>
    <t>Volkan</t>
  </si>
  <si>
    <t>Seviye</t>
  </si>
  <si>
    <t>Müdür1</t>
  </si>
  <si>
    <t>Müdür2</t>
  </si>
  <si>
    <t>Müdür3</t>
  </si>
  <si>
    <t>Müdür5</t>
  </si>
  <si>
    <t>Müdür6</t>
  </si>
  <si>
    <t>Müdür7</t>
  </si>
  <si>
    <t>Müdür8</t>
  </si>
  <si>
    <t>Müdür9</t>
  </si>
  <si>
    <t>Bölgeci1</t>
  </si>
  <si>
    <t>Bölgeci2</t>
  </si>
  <si>
    <t>Bölgeci3</t>
  </si>
  <si>
    <t>Bölgeci4</t>
  </si>
  <si>
    <t>Bölgeci5</t>
  </si>
  <si>
    <t>Bölgeci6</t>
  </si>
  <si>
    <t>GM1</t>
  </si>
  <si>
    <t>GM2</t>
  </si>
  <si>
    <t>GM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</si>
</sst>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0" fillId="2" borderId="0" xfId="0" applyFill="1"/>
    <xf numFmtId="0" fontId="4" fillId="3" borderId="0" xfId="0" applyFont="1" applyFill="1"/>
    <xf numFmtId="0" fontId="3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0" fillId="4" borderId="0" xfId="0" applyFill="1"/>
    <xf numFmtId="0" fontId="2" fillId="4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4</xdr:col>
          <xdr:colOff>200025</xdr:colOff>
          <xdr:row>8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Giriş için tıklayınız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Giriş yapamıyorsanız makro ayarlarını ….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A2AF1-6E46-4C97-ADFF-B72FB0DD56F5}">
  <sheetPr codeName="Sheet1"/>
  <dimension ref="A1:M8"/>
  <sheetViews>
    <sheetView tabSelected="1" workbookViewId="0">
      <selection activeCell="B1" sqref="B1"/>
    </sheetView>
  </sheetViews>
  <sheetFormatPr defaultRowHeight="15" x14ac:dyDescent="0.25"/>
  <cols>
    <col min="2" max="2" width="12" customWidth="1"/>
    <col min="11" max="13" width="12.42578125" bestFit="1" customWidth="1"/>
  </cols>
  <sheetData>
    <row r="1" spans="1:13" x14ac:dyDescent="0.25">
      <c r="A1" s="3" t="s">
        <v>0</v>
      </c>
      <c r="B1" s="2"/>
      <c r="G1" s="9" t="s">
        <v>41</v>
      </c>
      <c r="H1" s="8">
        <f>VLOOKUP(G1,yetki!$A$1:$D$18,4,0)</f>
        <v>1</v>
      </c>
      <c r="I1" s="8" t="str">
        <f>VLOOKUP(G1,yetki!A1:D18,3,0)</f>
        <v>GM</v>
      </c>
      <c r="J1" s="8" t="str">
        <f>VLOOKUP(G1,yetki!A1:D18,2,0)</f>
        <v>GM</v>
      </c>
      <c r="K1" s="1" t="s">
        <v>6</v>
      </c>
      <c r="L1" s="1" t="s">
        <v>7</v>
      </c>
      <c r="M1" s="1" t="s">
        <v>8</v>
      </c>
    </row>
    <row r="2" spans="1:13" x14ac:dyDescent="0.25">
      <c r="A2" s="3" t="s">
        <v>1</v>
      </c>
      <c r="B2" s="2"/>
      <c r="K2" t="s">
        <v>9</v>
      </c>
      <c r="L2" t="s">
        <v>15</v>
      </c>
      <c r="M2" t="s">
        <v>17</v>
      </c>
    </row>
    <row r="3" spans="1:13" x14ac:dyDescent="0.25">
      <c r="K3" t="s">
        <v>13</v>
      </c>
      <c r="L3" t="s">
        <v>16</v>
      </c>
      <c r="M3" t="s">
        <v>18</v>
      </c>
    </row>
    <row r="4" spans="1:13" x14ac:dyDescent="0.25">
      <c r="K4" t="s">
        <v>14</v>
      </c>
      <c r="M4" t="s">
        <v>19</v>
      </c>
    </row>
    <row r="5" spans="1:13" x14ac:dyDescent="0.25">
      <c r="A5" s="4" t="s">
        <v>2</v>
      </c>
      <c r="B5" s="4" t="s">
        <v>3</v>
      </c>
      <c r="C5" s="4" t="s">
        <v>4</v>
      </c>
      <c r="D5" s="4" t="s">
        <v>5</v>
      </c>
      <c r="M5" t="s">
        <v>20</v>
      </c>
    </row>
    <row r="6" spans="1:13" x14ac:dyDescent="0.25">
      <c r="A6" s="5" t="s">
        <v>10</v>
      </c>
      <c r="B6" s="6">
        <f>IF(ISBLANK($B$2),SUMIFS(data!D:D,data!$A:$A,$B$1,data!$C:$C,$A6),SUMIFS(data!D:D,data!$B:$B,$B$2,data!$C:$C,$A6))</f>
        <v>0</v>
      </c>
      <c r="C6" s="6">
        <f>IF(ISBLANK($B$2),SUMIFS(data!E:E,data!$A:$A,$B$1,data!$C:$C,$A6),SUMIFS(data!E:E,data!$B:$B,$B$2,data!$C:$C,$A6))</f>
        <v>0</v>
      </c>
      <c r="D6" s="7" t="e">
        <f>B6/C6</f>
        <v>#DIV/0!</v>
      </c>
    </row>
    <row r="7" spans="1:13" x14ac:dyDescent="0.25">
      <c r="A7" s="5" t="s">
        <v>11</v>
      </c>
      <c r="B7" s="6">
        <f>IF(ISBLANK($B$2),SUMIFS(data!D:D,data!$A:$A,$B$1,data!$C:$C,$A7),SUMIFS(data!D:D,data!$B:$B,$B$2,data!$C:$C,$A7))</f>
        <v>0</v>
      </c>
      <c r="C7" s="6">
        <f>IF(ISBLANK($B$2),SUMIFS(data!E:E,data!$A:$A,$B$1,data!$C:$C,$A7),SUMIFS(data!E:E,data!$B:$B,$B$2,data!$C:$C,$A7))</f>
        <v>0</v>
      </c>
      <c r="D7" s="7" t="e">
        <f t="shared" ref="D7:D8" si="0">B7/C7</f>
        <v>#DIV/0!</v>
      </c>
    </row>
    <row r="8" spans="1:13" x14ac:dyDescent="0.25">
      <c r="A8" s="5" t="s">
        <v>12</v>
      </c>
      <c r="B8" s="6">
        <f>IF(ISBLANK($B$2),SUMIFS(data!D:D,data!$A:$A,$B$1,data!$C:$C,$A8),SUMIFS(data!D:D,data!$B:$B,$B$2,data!$C:$C,$A8))</f>
        <v>0</v>
      </c>
      <c r="C8" s="6">
        <f>IF(ISBLANK($B$2),SUMIFS(data!E:E,data!$A:$A,$B$1,data!$C:$C,$A8),SUMIFS(data!E:E,data!$B:$B,$B$2,data!$C:$C,$A8))</f>
        <v>0</v>
      </c>
      <c r="D8" s="7" t="e">
        <f t="shared" si="0"/>
        <v>#DIV/0!</v>
      </c>
    </row>
  </sheetData>
  <sheetProtection password="CC3D" sheet="1" objects="1" scenarios="1"/>
  <protectedRanges>
    <protectedRange sqref="B1:B2 G1" name="Range1"/>
  </protectedRanges>
  <dataValidations count="2">
    <dataValidation type="list" allowBlank="1" showInputMessage="1" showErrorMessage="1" sqref="B1" xr:uid="{DAFCF28E-DF72-49F9-B0ED-F350BBB906BF}">
      <formula1>$K$1:$M$1</formula1>
    </dataValidation>
    <dataValidation type="list" allowBlank="1" showInputMessage="1" showErrorMessage="1" sqref="B2" xr:uid="{D611DC66-7366-41E5-BD3A-5655EF28494E}">
      <formula1>INDIRECT($B$1)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4</xdr:col>
                    <xdr:colOff>200025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0E431-6093-48C2-90ED-2F0A1F5DF75A}">
  <sheetPr codeName="Sheet2"/>
  <dimension ref="A1:E28"/>
  <sheetViews>
    <sheetView workbookViewId="0">
      <selection sqref="A1:B1048576"/>
    </sheetView>
  </sheetViews>
  <sheetFormatPr defaultRowHeight="15" x14ac:dyDescent="0.25"/>
  <sheetData>
    <row r="1" spans="1:5" x14ac:dyDescent="0.25">
      <c r="A1" s="1" t="s">
        <v>0</v>
      </c>
      <c r="B1" s="1" t="s">
        <v>23</v>
      </c>
      <c r="C1" s="1" t="s">
        <v>22</v>
      </c>
      <c r="D1" s="1" t="s">
        <v>21</v>
      </c>
      <c r="E1" s="1" t="s">
        <v>4</v>
      </c>
    </row>
    <row r="2" spans="1:5" x14ac:dyDescent="0.25">
      <c r="A2" t="s">
        <v>6</v>
      </c>
      <c r="B2" t="s">
        <v>9</v>
      </c>
      <c r="C2" t="s">
        <v>10</v>
      </c>
      <c r="D2">
        <v>751</v>
      </c>
      <c r="E2">
        <v>781</v>
      </c>
    </row>
    <row r="3" spans="1:5" x14ac:dyDescent="0.25">
      <c r="A3" t="s">
        <v>6</v>
      </c>
      <c r="B3" t="s">
        <v>9</v>
      </c>
      <c r="C3" t="s">
        <v>11</v>
      </c>
      <c r="D3">
        <v>932</v>
      </c>
      <c r="E3">
        <v>535</v>
      </c>
    </row>
    <row r="4" spans="1:5" x14ac:dyDescent="0.25">
      <c r="A4" t="s">
        <v>6</v>
      </c>
      <c r="B4" t="s">
        <v>9</v>
      </c>
      <c r="C4" t="s">
        <v>12</v>
      </c>
      <c r="D4">
        <v>579</v>
      </c>
      <c r="E4">
        <v>794</v>
      </c>
    </row>
    <row r="5" spans="1:5" x14ac:dyDescent="0.25">
      <c r="A5" t="s">
        <v>6</v>
      </c>
      <c r="B5" t="s">
        <v>13</v>
      </c>
      <c r="C5" t="s">
        <v>10</v>
      </c>
      <c r="D5">
        <v>784</v>
      </c>
      <c r="E5">
        <v>592</v>
      </c>
    </row>
    <row r="6" spans="1:5" x14ac:dyDescent="0.25">
      <c r="A6" t="s">
        <v>6</v>
      </c>
      <c r="B6" t="s">
        <v>13</v>
      </c>
      <c r="C6" t="s">
        <v>11</v>
      </c>
      <c r="D6">
        <v>845</v>
      </c>
      <c r="E6">
        <v>548</v>
      </c>
    </row>
    <row r="7" spans="1:5" x14ac:dyDescent="0.25">
      <c r="A7" t="s">
        <v>6</v>
      </c>
      <c r="B7" t="s">
        <v>13</v>
      </c>
      <c r="C7" t="s">
        <v>12</v>
      </c>
      <c r="D7">
        <v>821</v>
      </c>
      <c r="E7">
        <v>997</v>
      </c>
    </row>
    <row r="8" spans="1:5" x14ac:dyDescent="0.25">
      <c r="A8" t="s">
        <v>6</v>
      </c>
      <c r="B8" t="s">
        <v>14</v>
      </c>
      <c r="C8" t="s">
        <v>10</v>
      </c>
      <c r="D8">
        <v>583</v>
      </c>
      <c r="E8">
        <v>589</v>
      </c>
    </row>
    <row r="9" spans="1:5" x14ac:dyDescent="0.25">
      <c r="A9" t="s">
        <v>6</v>
      </c>
      <c r="B9" t="s">
        <v>14</v>
      </c>
      <c r="C9" t="s">
        <v>11</v>
      </c>
      <c r="D9">
        <v>979</v>
      </c>
      <c r="E9">
        <v>529</v>
      </c>
    </row>
    <row r="10" spans="1:5" x14ac:dyDescent="0.25">
      <c r="A10" t="s">
        <v>6</v>
      </c>
      <c r="B10" t="s">
        <v>14</v>
      </c>
      <c r="C10" t="s">
        <v>12</v>
      </c>
      <c r="D10">
        <v>870</v>
      </c>
      <c r="E10">
        <v>902</v>
      </c>
    </row>
    <row r="11" spans="1:5" x14ac:dyDescent="0.25">
      <c r="A11" t="s">
        <v>7</v>
      </c>
      <c r="B11" t="s">
        <v>15</v>
      </c>
      <c r="C11" t="s">
        <v>10</v>
      </c>
      <c r="D11">
        <v>814</v>
      </c>
      <c r="E11">
        <v>878</v>
      </c>
    </row>
    <row r="12" spans="1:5" x14ac:dyDescent="0.25">
      <c r="A12" t="s">
        <v>7</v>
      </c>
      <c r="B12" t="s">
        <v>15</v>
      </c>
      <c r="C12" t="s">
        <v>11</v>
      </c>
      <c r="D12">
        <v>891</v>
      </c>
      <c r="E12">
        <v>847</v>
      </c>
    </row>
    <row r="13" spans="1:5" x14ac:dyDescent="0.25">
      <c r="A13" t="s">
        <v>7</v>
      </c>
      <c r="B13" t="s">
        <v>15</v>
      </c>
      <c r="C13" t="s">
        <v>12</v>
      </c>
      <c r="D13">
        <v>821</v>
      </c>
      <c r="E13">
        <v>553</v>
      </c>
    </row>
    <row r="14" spans="1:5" x14ac:dyDescent="0.25">
      <c r="A14" t="s">
        <v>7</v>
      </c>
      <c r="B14" t="s">
        <v>16</v>
      </c>
      <c r="C14" t="s">
        <v>10</v>
      </c>
      <c r="D14">
        <v>776</v>
      </c>
      <c r="E14">
        <v>939</v>
      </c>
    </row>
    <row r="15" spans="1:5" x14ac:dyDescent="0.25">
      <c r="A15" t="s">
        <v>7</v>
      </c>
      <c r="B15" t="s">
        <v>16</v>
      </c>
      <c r="C15" t="s">
        <v>11</v>
      </c>
      <c r="D15">
        <v>812</v>
      </c>
      <c r="E15">
        <v>732</v>
      </c>
    </row>
    <row r="16" spans="1:5" x14ac:dyDescent="0.25">
      <c r="A16" t="s">
        <v>7</v>
      </c>
      <c r="B16" t="s">
        <v>16</v>
      </c>
      <c r="C16" t="s">
        <v>12</v>
      </c>
      <c r="D16">
        <v>872</v>
      </c>
      <c r="E16">
        <v>857</v>
      </c>
    </row>
    <row r="17" spans="1:5" x14ac:dyDescent="0.25">
      <c r="A17" t="s">
        <v>8</v>
      </c>
      <c r="B17" t="s">
        <v>17</v>
      </c>
      <c r="C17" t="s">
        <v>10</v>
      </c>
      <c r="D17">
        <v>906</v>
      </c>
      <c r="E17">
        <v>777</v>
      </c>
    </row>
    <row r="18" spans="1:5" x14ac:dyDescent="0.25">
      <c r="A18" t="s">
        <v>8</v>
      </c>
      <c r="B18" t="s">
        <v>17</v>
      </c>
      <c r="C18" t="s">
        <v>11</v>
      </c>
      <c r="D18">
        <v>546</v>
      </c>
      <c r="E18">
        <v>589</v>
      </c>
    </row>
    <row r="19" spans="1:5" x14ac:dyDescent="0.25">
      <c r="A19" t="s">
        <v>8</v>
      </c>
      <c r="B19" t="s">
        <v>17</v>
      </c>
      <c r="C19" t="s">
        <v>12</v>
      </c>
      <c r="D19">
        <v>679</v>
      </c>
      <c r="E19">
        <v>773</v>
      </c>
    </row>
    <row r="20" spans="1:5" x14ac:dyDescent="0.25">
      <c r="A20" t="s">
        <v>8</v>
      </c>
      <c r="B20" t="s">
        <v>18</v>
      </c>
      <c r="C20" t="s">
        <v>10</v>
      </c>
      <c r="D20">
        <v>819</v>
      </c>
      <c r="E20">
        <v>956</v>
      </c>
    </row>
    <row r="21" spans="1:5" x14ac:dyDescent="0.25">
      <c r="A21" t="s">
        <v>8</v>
      </c>
      <c r="B21" t="s">
        <v>18</v>
      </c>
      <c r="C21" t="s">
        <v>11</v>
      </c>
      <c r="D21">
        <v>605</v>
      </c>
      <c r="E21">
        <v>912</v>
      </c>
    </row>
    <row r="22" spans="1:5" x14ac:dyDescent="0.25">
      <c r="A22" t="s">
        <v>8</v>
      </c>
      <c r="B22" t="s">
        <v>18</v>
      </c>
      <c r="C22" t="s">
        <v>12</v>
      </c>
      <c r="D22">
        <v>932</v>
      </c>
      <c r="E22">
        <v>898</v>
      </c>
    </row>
    <row r="23" spans="1:5" x14ac:dyDescent="0.25">
      <c r="A23" t="s">
        <v>8</v>
      </c>
      <c r="B23" t="s">
        <v>19</v>
      </c>
      <c r="C23" t="s">
        <v>10</v>
      </c>
      <c r="D23">
        <v>501</v>
      </c>
      <c r="E23">
        <v>611</v>
      </c>
    </row>
    <row r="24" spans="1:5" x14ac:dyDescent="0.25">
      <c r="A24" t="s">
        <v>8</v>
      </c>
      <c r="B24" t="s">
        <v>19</v>
      </c>
      <c r="C24" t="s">
        <v>11</v>
      </c>
      <c r="D24">
        <v>603</v>
      </c>
      <c r="E24">
        <v>692</v>
      </c>
    </row>
    <row r="25" spans="1:5" x14ac:dyDescent="0.25">
      <c r="A25" t="s">
        <v>8</v>
      </c>
      <c r="B25" t="s">
        <v>19</v>
      </c>
      <c r="C25" t="s">
        <v>12</v>
      </c>
      <c r="D25">
        <v>589</v>
      </c>
      <c r="E25">
        <v>676</v>
      </c>
    </row>
    <row r="26" spans="1:5" x14ac:dyDescent="0.25">
      <c r="A26" t="s">
        <v>8</v>
      </c>
      <c r="B26" t="s">
        <v>20</v>
      </c>
      <c r="C26" t="s">
        <v>10</v>
      </c>
      <c r="D26">
        <v>532</v>
      </c>
      <c r="E26">
        <v>662</v>
      </c>
    </row>
    <row r="27" spans="1:5" x14ac:dyDescent="0.25">
      <c r="A27" t="s">
        <v>8</v>
      </c>
      <c r="B27" t="s">
        <v>20</v>
      </c>
      <c r="C27" t="s">
        <v>11</v>
      </c>
      <c r="D27">
        <v>848</v>
      </c>
      <c r="E27">
        <v>845</v>
      </c>
    </row>
    <row r="28" spans="1:5" x14ac:dyDescent="0.25">
      <c r="A28" t="s">
        <v>8</v>
      </c>
      <c r="B28" t="s">
        <v>20</v>
      </c>
      <c r="C28" t="s">
        <v>12</v>
      </c>
      <c r="D28">
        <v>674</v>
      </c>
      <c r="E28">
        <v>884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DD02-D7DE-4C3A-9B0D-60392412B240}">
  <sheetPr codeName="Sheet3"/>
  <dimension ref="A1:D18"/>
  <sheetViews>
    <sheetView workbookViewId="0">
      <selection activeCell="C18" sqref="C18"/>
    </sheetView>
  </sheetViews>
  <sheetFormatPr defaultRowHeight="15" x14ac:dyDescent="0.25"/>
  <sheetData>
    <row r="1" spans="1:4" x14ac:dyDescent="0.25">
      <c r="A1" s="1" t="s">
        <v>24</v>
      </c>
      <c r="B1" s="1" t="s">
        <v>23</v>
      </c>
      <c r="C1" s="1" t="s">
        <v>0</v>
      </c>
      <c r="D1" s="1" t="s">
        <v>26</v>
      </c>
    </row>
    <row r="2" spans="1:4" x14ac:dyDescent="0.25">
      <c r="A2" t="s">
        <v>27</v>
      </c>
      <c r="B2" t="s">
        <v>9</v>
      </c>
      <c r="C2" t="s">
        <v>6</v>
      </c>
      <c r="D2">
        <v>3</v>
      </c>
    </row>
    <row r="3" spans="1:4" x14ac:dyDescent="0.25">
      <c r="A3" t="s">
        <v>28</v>
      </c>
      <c r="B3" t="s">
        <v>13</v>
      </c>
      <c r="C3" t="s">
        <v>6</v>
      </c>
      <c r="D3">
        <v>3</v>
      </c>
    </row>
    <row r="4" spans="1:4" x14ac:dyDescent="0.25">
      <c r="A4" t="s">
        <v>29</v>
      </c>
      <c r="B4" t="s">
        <v>14</v>
      </c>
      <c r="C4" t="s">
        <v>6</v>
      </c>
      <c r="D4">
        <v>3</v>
      </c>
    </row>
    <row r="5" spans="1:4" x14ac:dyDescent="0.25">
      <c r="A5" t="s">
        <v>25</v>
      </c>
      <c r="B5" t="s">
        <v>15</v>
      </c>
      <c r="C5" t="s">
        <v>7</v>
      </c>
      <c r="D5">
        <v>3</v>
      </c>
    </row>
    <row r="6" spans="1:4" x14ac:dyDescent="0.25">
      <c r="A6" t="s">
        <v>30</v>
      </c>
      <c r="B6" t="s">
        <v>16</v>
      </c>
      <c r="C6" t="s">
        <v>7</v>
      </c>
      <c r="D6">
        <v>3</v>
      </c>
    </row>
    <row r="7" spans="1:4" x14ac:dyDescent="0.25">
      <c r="A7" t="s">
        <v>31</v>
      </c>
      <c r="B7" t="s">
        <v>17</v>
      </c>
      <c r="C7" t="s">
        <v>8</v>
      </c>
      <c r="D7">
        <v>3</v>
      </c>
    </row>
    <row r="8" spans="1:4" x14ac:dyDescent="0.25">
      <c r="A8" t="s">
        <v>32</v>
      </c>
      <c r="B8" t="s">
        <v>18</v>
      </c>
      <c r="C8" t="s">
        <v>8</v>
      </c>
      <c r="D8">
        <v>3</v>
      </c>
    </row>
    <row r="9" spans="1:4" x14ac:dyDescent="0.25">
      <c r="A9" t="s">
        <v>33</v>
      </c>
      <c r="B9" t="s">
        <v>19</v>
      </c>
      <c r="C9" t="s">
        <v>8</v>
      </c>
      <c r="D9">
        <v>3</v>
      </c>
    </row>
    <row r="10" spans="1:4" x14ac:dyDescent="0.25">
      <c r="A10" t="s">
        <v>34</v>
      </c>
      <c r="B10" t="s">
        <v>20</v>
      </c>
      <c r="C10" t="s">
        <v>8</v>
      </c>
      <c r="D10">
        <v>3</v>
      </c>
    </row>
    <row r="11" spans="1:4" x14ac:dyDescent="0.25">
      <c r="A11" t="s">
        <v>35</v>
      </c>
      <c r="B11" t="s">
        <v>6</v>
      </c>
      <c r="C11" t="s">
        <v>6</v>
      </c>
      <c r="D11">
        <v>2</v>
      </c>
    </row>
    <row r="12" spans="1:4" x14ac:dyDescent="0.25">
      <c r="A12" t="s">
        <v>36</v>
      </c>
      <c r="B12" t="s">
        <v>6</v>
      </c>
      <c r="C12" t="s">
        <v>6</v>
      </c>
      <c r="D12">
        <v>2</v>
      </c>
    </row>
    <row r="13" spans="1:4" x14ac:dyDescent="0.25">
      <c r="A13" t="s">
        <v>37</v>
      </c>
      <c r="B13" t="s">
        <v>7</v>
      </c>
      <c r="C13" t="s">
        <v>7</v>
      </c>
      <c r="D13">
        <v>2</v>
      </c>
    </row>
    <row r="14" spans="1:4" x14ac:dyDescent="0.25">
      <c r="A14" t="s">
        <v>38</v>
      </c>
      <c r="B14" t="s">
        <v>7</v>
      </c>
      <c r="C14" t="s">
        <v>7</v>
      </c>
      <c r="D14">
        <v>2</v>
      </c>
    </row>
    <row r="15" spans="1:4" x14ac:dyDescent="0.25">
      <c r="A15" t="s">
        <v>39</v>
      </c>
      <c r="B15" t="s">
        <v>8</v>
      </c>
      <c r="C15" t="s">
        <v>8</v>
      </c>
      <c r="D15">
        <v>2</v>
      </c>
    </row>
    <row r="16" spans="1:4" x14ac:dyDescent="0.25">
      <c r="A16" t="s">
        <v>40</v>
      </c>
      <c r="B16" t="s">
        <v>8</v>
      </c>
      <c r="C16" t="s">
        <v>8</v>
      </c>
      <c r="D16">
        <v>2</v>
      </c>
    </row>
    <row r="17" spans="1:4" x14ac:dyDescent="0.25">
      <c r="A17" t="s">
        <v>41</v>
      </c>
      <c r="B17" t="s">
        <v>43</v>
      </c>
      <c r="C17" t="s">
        <v>43</v>
      </c>
      <c r="D17">
        <v>1</v>
      </c>
    </row>
    <row r="18" spans="1:4" x14ac:dyDescent="0.25">
      <c r="A18" t="s">
        <v>42</v>
      </c>
      <c r="B18" t="s">
        <v>43</v>
      </c>
      <c r="C18" t="s">
        <v>43</v>
      </c>
      <c r="D18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Karne</vt:lpstr>
      <vt:lpstr>data</vt:lpstr>
      <vt:lpstr>yetki</vt:lpstr>
      <vt:lpstr>blg</vt:lpstr>
      <vt:lpstr>Bölge1</vt:lpstr>
      <vt:lpstr>Bölge2</vt:lpstr>
      <vt:lpstr>Bölge3</vt:lpstr>
      <vt:lpstr>kull</vt:lpstr>
      <vt:lpstr>şb</vt:lpstr>
      <vt:lpstr>yetki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2019-01-25T18:28:12Z</dcterms:created>
  <dcterms:modified xsi:type="dcterms:W3CDTF">2019-01-25T19:35:33Z</dcterms:modified>
</cp:coreProperties>
</file>